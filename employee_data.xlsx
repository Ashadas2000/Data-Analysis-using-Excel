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had\Downloads\"/>
    </mc:Choice>
  </mc:AlternateContent>
  <xr:revisionPtr revIDLastSave="0" documentId="13_ncr:1_{9A2A373C-51DF-43F9-A2B4-BA955BE7998F}" xr6:coauthVersionLast="47" xr6:coauthVersionMax="47" xr10:uidLastSave="{00000000-0000-0000-0000-000000000000}"/>
  <bookViews>
    <workbookView minimized="1" xWindow="2964" yWindow="2964" windowWidth="17280" windowHeight="8880" xr2:uid="{CE201E1D-A128-4A0C-89E4-587B1E9F5181}"/>
  </bookViews>
  <sheets>
    <sheet name="Employees" sheetId="1" r:id="rId1"/>
    <sheet name="Manag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2" i="1"/>
  <c r="I4" i="1"/>
  <c r="I5" i="1"/>
  <c r="I6" i="1"/>
  <c r="G2" i="1"/>
  <c r="G3" i="1"/>
  <c r="G4" i="1"/>
  <c r="G5" i="1"/>
  <c r="G6" i="1"/>
  <c r="F3" i="1"/>
  <c r="H3" i="1" s="1" a="1"/>
  <c r="H3" i="1" s="1"/>
  <c r="F2" i="1"/>
  <c r="H2" i="1" s="1" a="1"/>
  <c r="H2" i="1" s="1"/>
  <c r="F4" i="1"/>
  <c r="H4" i="1" s="1" a="1"/>
  <c r="H4" i="1" s="1"/>
  <c r="F5" i="1"/>
  <c r="H5" i="1" s="1" a="1"/>
  <c r="H5" i="1" s="1"/>
  <c r="F6" i="1"/>
  <c r="H6" i="1" s="1" a="1"/>
  <c r="H6" i="1" s="1"/>
  <c r="I7" i="2" a="1"/>
  <c r="I7" i="2" s="1"/>
  <c r="E4" i="2" a="1"/>
  <c r="E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<sst xmlns="http://schemas.openxmlformats.org/spreadsheetml/2006/main" count="25" uniqueCount="23">
  <si>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Employee ID</t>
  </si>
  <si>
    <t>Name</t>
  </si>
  <si>
    <t>Department</t>
  </si>
  <si>
    <t>Salary</t>
  </si>
  <si>
    <t>Manager ID</t>
  </si>
  <si>
    <t>John Doe</t>
  </si>
  <si>
    <t>HR</t>
  </si>
  <si>
    <t>Jane Smith</t>
  </si>
  <si>
    <t>IT</t>
  </si>
  <si>
    <t>Mike Johnson</t>
  </si>
  <si>
    <t>Finance</t>
  </si>
  <si>
    <t>Emily Brown</t>
  </si>
  <si>
    <t>Marketing</t>
  </si>
  <si>
    <t>David Lee</t>
  </si>
  <si>
    <t>Operations</t>
  </si>
  <si>
    <t>Manager Name</t>
  </si>
  <si>
    <t>Sarah Adams</t>
  </si>
  <si>
    <t>Michael Brown</t>
  </si>
  <si>
    <t>Lisa Chang</t>
  </si>
  <si>
    <t>James Wilson</t>
  </si>
  <si>
    <t>Manager Index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</si>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</sst>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602DC-70F5-488F-8F3B-5FF5DB698C4D}" name="Employee" displayName="Employee" ref="A1:I6" totalsRowShown="0" headerRowDxfId="4" dataDxfId="5">
  <autoFilter ref="A1:I6" xr:uid="{E0E602DC-70F5-488F-8F3B-5FF5DB698C4D}"/>
  <tableColumns count="9">
    <tableColumn id="1" xr3:uid="{03F2261B-5AC9-4B3F-BFC6-1695977A91B1}" name="Employee ID" dataDxfId="10"/>
    <tableColumn id="2" xr3:uid="{5E0BD2F8-7E19-4AC9-8ADC-460A06CF1CA5}" name="Name" dataDxfId="9"/>
    <tableColumn id="3" xr3:uid="{7A3B5B9F-4FFB-4CDB-8EFD-2CE7D9E0BAF9}" name="Department" dataDxfId="8"/>
    <tableColumn id="4" xr3:uid="{E1208EC3-BC0C-4BE5-941F-55685084E998}" name="Salary" dataDxfId="7"/>
    <tableColumn id="5" xr3:uid="{048C19B9-1261-4428-8DD0-7D5F8109237A}" name="Manager ID" dataDxfId="6"/>
    <tableColumn id="6" xr3:uid="{9D52E30D-1A01-409C-AA38-D62FB1628F5C}" name="Manager Index" dataDxfId="3">
      <calculatedColumnFormula>MATCH(Employee[[#This Row],[Manager ID]],Managers[Manager ID],0)</calculatedColumnFormula>
    </tableColumn>
    <tableColumn id="7" xr3:uid="{0A4B989F-E194-456B-94DD-89960004E315}" name="Column1" dataDxfId="2">
      <calculatedColumnFormula>MATCH("Manager Name",Managers[#Headers],0)</calculatedColumnFormula>
    </tableColumn>
    <tableColumn id="8" xr3:uid="{6C5597BC-47C6-4306-A32B-6A9D64C81CD9}" name="Column2" dataDxfId="1">
      <calculatedColumnFormula array="1">INDEX(Managers[],Employee[[#This Row],[Manager Index]],Employee[[#This Row],[Column1]])</calculatedColumnFormula>
    </tableColumn>
    <tableColumn id="9" xr3:uid="{2264D331-ADE1-4DAD-A5CB-57FE28595C7B}" name="Manager Name" dataDxfId="0">
      <calculatedColumnFormula>INDEX(Managers[],MATCH(Employee[[#This Row],[Manager ID]],Managers[Manager ID],0),MATCH("Manager Name",Managers[#Headers],0))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AF102-1286-4F06-81F1-8F172D4B3328}" name="Managers" displayName="Managers" ref="A1:B5" totalsRowShown="0" headerRowDxfId="11" dataDxfId="12">
  <autoFilter ref="A1:B5" xr:uid="{C1CAF102-1286-4F06-81F1-8F172D4B3328}"/>
  <tableColumns count="2">
    <tableColumn id="1" xr3:uid="{6EC43F19-6F98-4209-A8E8-72731F8C3B7A}" name="Manager ID" dataDxfId="14"/>
    <tableColumn id="2" xr3:uid="{C5EA348C-A6CC-4B8F-85D8-8FAA0CEA902C}" name="Manager Nam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3FF1-3B83-44A4-8D2B-C373159F0376}">
  <dimension ref="A1:I6"/>
  <sheetViews>
    <sheetView tabSelected="1" topLeftCell="B1" workbookViewId="0">
      <selection activeCell="J16" sqref="J16"/>
    </sheetView>
  </sheetViews>
  <sheetFormatPr defaultRowHeight="13.8"/>
  <cols>
    <col min="1" max="1" width="18.09765625" customWidth="1"/>
    <col min="2" max="2" width="11.69921875" customWidth="1"/>
    <col min="3" max="3" width="13.69921875" customWidth="1"/>
    <col min="4" max="4" width="8.09765625" customWidth="1"/>
    <col min="5" max="5" width="12.69921875" customWidth="1"/>
    <col min="6" max="6" width="15.69921875" customWidth="1"/>
    <col min="8" max="8" width="11.3984375" customWidth="1"/>
    <col min="9" max="9" width="12.8984375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  <c r="H1" s="1" t="s">
        <v>22</v>
      </c>
      <c r="I1" s="1" t="s">
        <v>15</v>
      </c>
    </row>
    <row r="2" spans="1:9" ht="27.6">
      <c r="A2" s="2">
        <v>101</v>
      </c>
      <c r="B2" s="2" t="s">
        <v>5</v>
      </c>
      <c r="C2" s="2" t="s">
        <v>6</v>
      </c>
      <c r="D2" s="2">
        <v>50000</v>
      </c>
      <c r="E2" s="2">
        <v>201</v>
      </c>
      <c r="F2">
        <f>MATCH(Employee[[#This Row],[Manager ID]],Managers[Manager ID],0)</f>
        <v>1</v>
      </c>
      <c r="G2" s="2">
        <f>MATCH("Manager Name",Managers[#Headers],0)</f>
        <v>2</v>
      </c>
      <c r="H2" s="2" t="str" cm="1">
        <f t="array" ref="H2">INDEX(Managers[],Employee[[#This Row],[Manager Index]],Employee[[#This Row],[Column1]])</f>
        <v>Sarah Adams</v>
      </c>
      <c r="I2" s="2" t="str">
        <f>INDEX(Managers[],MATCH(Employee[[#This Row],[Manager ID]],Managers[Manager ID],0),MATCH("Manager Name",Managers[#Headers],0))</f>
        <v>Sarah Adams</v>
      </c>
    </row>
    <row r="3" spans="1:9" ht="27.6">
      <c r="A3" s="2">
        <v>102</v>
      </c>
      <c r="B3" s="2" t="s">
        <v>7</v>
      </c>
      <c r="C3" s="2" t="s">
        <v>8</v>
      </c>
      <c r="D3" s="2">
        <v>60000</v>
      </c>
      <c r="E3" s="2">
        <v>202</v>
      </c>
      <c r="F3">
        <f>MATCH(Employee[[#This Row],[Manager ID]],Managers[Manager ID],0)</f>
        <v>2</v>
      </c>
      <c r="G3" s="2">
        <f>MATCH("Manager Name",Managers[#Headers],0)</f>
        <v>2</v>
      </c>
      <c r="H3" s="2" t="str" cm="1">
        <f t="array" ref="H3">INDEX(Managers[],Employee[[#This Row],[Manager Index]],Employee[[#This Row],[Column1]])</f>
        <v>Michael Brown</v>
      </c>
      <c r="I3" s="2" t="str">
        <f>INDEX(Managers[],MATCH(Employee[[#This Row],[Manager ID]],Managers[Manager ID],0),MATCH("Manager Name",Managers[#Headers],0))</f>
        <v>Michael Brown</v>
      </c>
    </row>
    <row r="4" spans="1:9" ht="27.6">
      <c r="A4" s="2">
        <v>103</v>
      </c>
      <c r="B4" s="2" t="s">
        <v>9</v>
      </c>
      <c r="C4" s="2" t="s">
        <v>10</v>
      </c>
      <c r="D4" s="2">
        <v>55000</v>
      </c>
      <c r="E4" s="2">
        <v>203</v>
      </c>
      <c r="F4">
        <f>MATCH(Employee[[#This Row],[Manager ID]],Managers[Manager ID],0)</f>
        <v>3</v>
      </c>
      <c r="G4" s="2">
        <f>MATCH("Manager Name",Managers[#Headers],0)</f>
        <v>2</v>
      </c>
      <c r="H4" s="2" t="str" cm="1">
        <f t="array" ref="H4">INDEX(Managers[],Employee[[#This Row],[Manager Index]],Employee[[#This Row],[Column1]])</f>
        <v>Lisa Chang</v>
      </c>
      <c r="I4" s="2" t="str">
        <f>INDEX(Managers[],MATCH(Employee[[#This Row],[Manager ID]],Managers[Manager ID],0),MATCH("Manager Name",Managers[#Headers],0))</f>
        <v>Lisa Chang</v>
      </c>
    </row>
    <row r="5" spans="1:9" ht="27.6">
      <c r="A5" s="2">
        <v>104</v>
      </c>
      <c r="B5" s="2" t="s">
        <v>11</v>
      </c>
      <c r="C5" s="2" t="s">
        <v>12</v>
      </c>
      <c r="D5" s="2">
        <v>58000</v>
      </c>
      <c r="E5" s="2">
        <v>201</v>
      </c>
      <c r="F5">
        <f>MATCH(Employee[[#This Row],[Manager ID]],Managers[Manager ID],0)</f>
        <v>1</v>
      </c>
      <c r="G5" s="2">
        <f>MATCH("Manager Name",Managers[#Headers],0)</f>
        <v>2</v>
      </c>
      <c r="H5" s="2" t="str" cm="1">
        <f t="array" ref="H5">INDEX(Managers[],Employee[[#This Row],[Manager Index]],Employee[[#This Row],[Column1]])</f>
        <v>Sarah Adams</v>
      </c>
      <c r="I5" s="2" t="str">
        <f>INDEX(Managers[],MATCH(Employee[[#This Row],[Manager ID]],Managers[Manager ID],0),MATCH("Manager Name",Managers[#Headers],0))</f>
        <v>Sarah Adams</v>
      </c>
    </row>
    <row r="6" spans="1:9" ht="27.6">
      <c r="A6" s="2">
        <v>105</v>
      </c>
      <c r="B6" s="2" t="s">
        <v>13</v>
      </c>
      <c r="C6" s="2" t="s">
        <v>14</v>
      </c>
      <c r="D6" s="2">
        <v>52000</v>
      </c>
      <c r="E6" s="2">
        <v>204</v>
      </c>
      <c r="F6">
        <f>MATCH(Employee[[#This Row],[Manager ID]],Managers[Manager ID],0)</f>
        <v>4</v>
      </c>
      <c r="G6" s="2">
        <f>MATCH("Manager Name",Managers[#Headers],0)</f>
        <v>2</v>
      </c>
      <c r="H6" s="2" t="str" cm="1">
        <f t="array" ref="H6">INDEX(Managers[],Employee[[#This Row],[Manager Index]],Employee[[#This Row],[Column1]])</f>
        <v>James Wilson</v>
      </c>
      <c r="I6" s="2" t="str">
        <f>INDEX(Managers[],MATCH(Employee[[#This Row],[Manager ID]],Managers[Manager ID],0),MATCH("Manager Name",Managers[#Headers],0))</f>
        <v>James Wilson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DE55-1E02-4BAB-B539-6F032C7E6544}">
  <dimension ref="A1:J10"/>
  <sheetViews>
    <sheetView workbookViewId="0">
      <selection activeCell="K11" sqref="K11"/>
    </sheetView>
  </sheetViews>
  <sheetFormatPr defaultRowHeight="13.8"/>
  <cols>
    <col min="1" max="1" width="16.8984375" customWidth="1"/>
    <col min="2" max="2" width="15.69921875" customWidth="1"/>
  </cols>
  <sheetData>
    <row r="1" spans="1:10">
      <c r="A1" s="1" t="s">
        <v>4</v>
      </c>
      <c r="B1" s="1" t="s">
        <v>15</v>
      </c>
    </row>
    <row r="2" spans="1:10">
      <c r="A2" s="2">
        <v>201</v>
      </c>
      <c r="B2" s="2" t="s">
        <v>16</v>
      </c>
    </row>
    <row r="3" spans="1:10">
      <c r="A3" s="2">
        <v>202</v>
      </c>
      <c r="B3" s="2" t="s">
        <v>17</v>
      </c>
    </row>
    <row r="4" spans="1:10">
      <c r="A4" s="2">
        <v>203</v>
      </c>
      <c r="B4" s="2" t="s">
        <v>18</v>
      </c>
      <c r="E4" cm="1">
        <f t="array" ref="E4:F7">Managers[]</f>
        <v>201</v>
      </c>
      <c r="F4" t="str">
        <v>Sarah Adams</v>
      </c>
    </row>
    <row r="5" spans="1:10">
      <c r="A5" s="2">
        <v>204</v>
      </c>
      <c r="B5" s="2" t="s">
        <v>19</v>
      </c>
      <c r="E5">
        <v>202</v>
      </c>
      <c r="F5" t="str">
        <v>Michael Brown</v>
      </c>
    </row>
    <row r="6" spans="1:10">
      <c r="E6">
        <v>203</v>
      </c>
      <c r="F6" t="str">
        <v>Lisa Chang</v>
      </c>
    </row>
    <row r="7" spans="1:10">
      <c r="E7">
        <v>204</v>
      </c>
      <c r="F7" t="str">
        <v>James Wilson</v>
      </c>
      <c r="I7" cm="1">
        <f t="array" ref="I7:J10">Managers[#Data]</f>
        <v>201</v>
      </c>
      <c r="J7" t="str">
        <v>Sarah Adams</v>
      </c>
    </row>
    <row r="8" spans="1:10">
      <c r="I8">
        <v>202</v>
      </c>
      <c r="J8" t="str">
        <v>Michael Brown</v>
      </c>
    </row>
    <row r="9" spans="1:10">
      <c r="I9">
        <v>203</v>
      </c>
      <c r="J9" t="str">
        <v>Lisa Chang</v>
      </c>
    </row>
    <row r="10" spans="1:10">
      <c r="I10">
        <v>204</v>
      </c>
      <c r="J10" t="str">
        <v>James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Bansal (P2023PTLP0014)</dc:creator>
  <cp:lastModifiedBy>asha das</cp:lastModifiedBy>
  <dcterms:created xsi:type="dcterms:W3CDTF">2024-06-30T13:02:20Z</dcterms:created>
  <dcterms:modified xsi:type="dcterms:W3CDTF">2025-11-04T10:07:53Z</dcterms:modified>
</cp:coreProperties>
</file>